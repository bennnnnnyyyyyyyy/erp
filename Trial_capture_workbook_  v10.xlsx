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en.arthur\Downloads\new backup\"/>
    </mc:Choice>
  </mc:AlternateContent>
  <bookViews>
    <workbookView xWindow="0" yWindow="0" windowWidth="18855" windowHeight="7740" tabRatio="500" firstSheet="1" activeTab="1"/>
  </bookViews>
  <sheets>
    <sheet name="1 Star test" sheetId="3" r:id="rId1"/>
    <sheet name="2 Feature matrix" sheetId="4" r:id="rId2"/>
    <sheet name="3 UI notes" sheetId="5" r:id="rId3"/>
    <sheet name="4 Mobile apps" sheetId="6" r:id="rId4"/>
    <sheet name="5 Prices" sheetId="7" r:id="rId5"/>
    <sheet name="6 White-label" sheetId="8" r:id="rId6"/>
  </sheets>
  <calcPr calcId="162913"/>
</workbook>
</file>

<file path=xl/calcChain.xml><?xml version="1.0" encoding="utf-8"?>
<calcChain xmlns="http://schemas.openxmlformats.org/spreadsheetml/2006/main">
  <c r="I21" i="7" l="1"/>
  <c r="H21" i="7"/>
  <c r="G21" i="7"/>
  <c r="F21" i="7"/>
  <c r="C8" i="7" s="1"/>
  <c r="I20" i="7"/>
  <c r="H20" i="7"/>
  <c r="G20" i="7"/>
  <c r="F20" i="7"/>
  <c r="E19" i="7"/>
  <c r="D19" i="7"/>
  <c r="C19" i="7"/>
  <c r="B19" i="7"/>
  <c r="I18" i="7"/>
  <c r="H18" i="7"/>
  <c r="G18" i="7"/>
  <c r="F18" i="7"/>
  <c r="I17" i="7"/>
  <c r="H17" i="7"/>
  <c r="G17" i="7"/>
  <c r="F17" i="7"/>
  <c r="I16" i="7"/>
  <c r="H16" i="7"/>
  <c r="G16" i="7"/>
  <c r="F16" i="7"/>
  <c r="I15" i="7"/>
  <c r="H15" i="7"/>
  <c r="G15" i="7"/>
  <c r="F15" i="7"/>
  <c r="D8" i="7"/>
  <c r="D7" i="7"/>
  <c r="C7" i="7"/>
  <c r="D6" i="7"/>
  <c r="C6" i="7"/>
  <c r="C5" i="7"/>
  <c r="D4" i="7"/>
  <c r="C4" i="7"/>
  <c r="D3" i="7"/>
  <c r="C3" i="7"/>
  <c r="D2" i="7"/>
  <c r="C2" i="7"/>
</calcChain>
</file>

<file path=xl/sharedStrings.xml><?xml version="1.0" encoding="utf-8"?>
<sst xmlns="http://schemas.openxmlformats.org/spreadsheetml/2006/main" count="488" uniqueCount="154">
  <si>
    <t>Edara</t>
  </si>
  <si>
    <t>Daftra</t>
  </si>
  <si>
    <t>Odoo</t>
  </si>
  <si>
    <t>Zoho</t>
  </si>
  <si>
    <t>Wafeq</t>
  </si>
  <si>
    <t>NetSuite</t>
  </si>
  <si>
    <t>ERPNext</t>
  </si>
  <si>
    <t>Not found</t>
  </si>
  <si>
    <t>Question</t>
  </si>
  <si>
    <t>Notes (channel, edition/plan tested, what you tried)</t>
  </si>
  <si>
    <t>1. Does the approver get a notification when Mona submits? (channel in Notes)</t>
  </si>
  <si>
    <t>x</t>
  </si>
  <si>
    <t>Yes</t>
  </si>
  <si>
    <t>Partial</t>
  </si>
  <si>
    <t>NetSuite (its own assistant citing help articles, 30 Oct): approval notification by EMAIL; mobile push on iOS; no SMS/WhatsApp standard. | ERPNext (SOURCE READ of a 17.0.0-dev checkout, 30 Oct; Frappe core not on disk; not a UI trial): the 2 bundled Notification records use Email only. The full channel list (SMS, Slack, system) is in Frappe core: unconfirmed. | Zoho (help page, not hands-on): approver notified by email; in-app alerts at later approval levels. | ERPNext (Frappe source): Notification doctype channels are Email, Slack, System Notification, SMS. Not verified that workflow approvals trigger one by default. | Edara: NO TRIAL available; public sources only; demo requested.</t>
  </si>
  <si>
    <t>2. Can the approver approve from the notification itself, without opening the app?</t>
  </si>
  <si>
    <t>?</t>
  </si>
  <si>
    <t>NetSuite: Approve/Reject links in email (if Email Approval enabled) and My Approvals in the mobile app, for SUPPORTED records only (POs, requisitions, sales orders, vendor bills, journals, expense reports, ECOs). NOT inventory transfers/adjustments. | Zoho: Zia says approvers must open the app; help page silent. Unverified. | Zoho v10: approving from inside the email is NOT established by docs; test hands-on.</t>
  </si>
  <si>
    <t>3. Can you assign a task to a staff member (pick/count/receive)?</t>
  </si>
  <si>
    <t>Daftra: Task Management app (enable in Settings &gt; Apps Manager); assigned employee gets an in-app notification (Daftra's assistant citing docs). Generic tasks, not warehouse-specific. Manager-side creation steps and phone use unconfirmed. | NetSuite: task Assigned To + 'Notify Assignee by Email'. Phone completion not confirmed. | ERPNext (SOURCE READ of a 17.0.0-dev checkout, 30 Oct; Frappe core not on disk; not a UI trial): assignment uses the ToDo doctype and frappe.assign_to (called from asset_maintenance.py). Whether the assignee is notified, and how, is in Frappe core: unconfirmed. | Zoho: Zia says tasks can be assigned to warehouse staff. Unverified.</t>
  </si>
  <si>
    <t>4. Does the assignee get notified, and can they mark it done from a phone?</t>
  </si>
  <si>
    <t>Zoho: Zia says in-app and email notification to assignee. Unverified. | ERPNext (Frappe v15 source, assign_to.notify_assignment): assignee gets an in-app Assignment notification (plus email if enabled).</t>
  </si>
  <si>
    <t>5. Any voice, dictation, chatbot or AI assistant? (try: 'approve the pending request', 'how many safety gloves')</t>
  </si>
  <si>
    <t>No</t>
  </si>
  <si>
    <t>Daftra: has an AI assistant you can ask (Ben's trial). What it can DO beyond answering is untested. | NetSuite assistant answers questions, drafts records and workflows for review; does NOT approve or post on its own. No voice found. | Wafeq AI agent (beta) exists; usage tiers by plan: Light (Starter), Standard (Plus), Extended (Premium, Enterprise). Ask it to do a task to see the approval gate. | Zoho: Zia answers questions only, does not perform actions (Zia's own statement).</t>
  </si>
  <si>
    <t>6. Any WhatsApp setting, integration or marketplace app? (outbound to staff?)</t>
  </si>
  <si>
    <t>Daftra: native WhatsApp via Meta (access token, approved template): client notifications, invoices/estimates, appointments, employee attendance-app login links. Customer-facing; no staff approvals/tasks found. | ERPNext (SOURCE READ of a 17.0.0-dev checkout, 30 Oct; Frappe core not on disk; not a UI trial): only phone-number data fields on Lead and Opportunity; no WhatsApp messaging code in the ERPNext repo. Frappe core and third-party apps not checked. | Zoho (help page): WhatsApp integration sends invoices, sales orders, receipts to CUSTOMERS only, needs paid IM credits. Nothing for internal approvals or tasks. Zia wrongly implied broader support. | ERPNext: no WhatsApp channel in Frappe core (v15) or ERPNext source.</t>
  </si>
  <si>
    <t>7. Does anything chase a slow approver (reminder, escalation, expiry)?</t>
  </si>
  <si>
    <t>NetSuite: Reminders portlet and approval reminder emails; no generic approval escalation engine (needs workflow). | ERPNext (SOURCE READ of a 17.0.0-dev checkout, 30 Oct; Frappe core not on disk; not a UI trial): no reminder or escalation for pending approvals. Reminders found are for project status updates and appointments only. | Zoho: no reminders or escalation per Zia; help page lists none.</t>
  </si>
  <si>
    <t>8. Does approval truly block the stock movement? (try to issue without approval)</t>
  </si>
  <si>
    <t>Daftra (docs + its assistant): a stock request is only a document (no stock or journal entries) and cannot be converted to a requisition until approved; stock moves when the requisition is confirmed. BUT Manual Outbound requisitions exist, so approval looks like an optional workflow, not a gate on all outgoing stock (docs.daftra.com/en/?p=8425, ?p=15607). Confirm in trial: can a user without approval rights create a Manual Outbound? | NetSuite: Inventory Transfer/Adjustment have NO native approval; needs custom SuiteFlow workflow. Without it a user with normal permissions can post directly. | Wafeq: cannot test stock approval in the Plus trial; inventory tracking is Premium-only (Ben's screenshot). | ERPNext (SOURCE READ of a 17.0.0-dev checkout, 30 Oct; Frappe core not on disk; not a UI trial): Stock Entry, Material Request and Stock Reconciliation are submittable and none defines a workflow, so there is no built-in approval gate; one exists only if an admin configures a Workflow (engine is in Frappe core, enforcement unverified). Click test still needed: submit a Stock Entry as a normal user. | Zoho: help page documents approvals for transfer orders and stock adjustments, enabled per module under Settings &gt; Preferences &gt; Approvals (opt-in). Zia says stock movement is blocked until approved; not tested hands-on. Plan requirement unknown. | Zoho v10 (DOCS, not hands-on): transfer order flow is Save and Submit (A) -&gt; Approve and Initiate Transfer (B) -&gt; only then Mark as Transferred. Genuine gate, opt-in via Settings &gt; Preferences &gt; Approvals &gt; Inventory Approval. | Daftra v10 (DOCS): Manual Outbound requisition is saved as Accepted directly (no approval). Stock Requests DO have pending &gt; approve/reject &gt; convert. Whether a restricted user can create Manual Outbound depends on permissions; two-user test still unverified. | Odoo v10 (DOCS): standard internal transfer is processed with Validate, no mandatory manager approval. Separate Approvals app and third-party/custom modules can add a gate; not standard Inventory.</t>
  </si>
  <si>
    <t>Module</t>
  </si>
  <si>
    <t>Notes / what to copy / what never to copy</t>
  </si>
  <si>
    <t>Dashboard / home</t>
  </si>
  <si>
    <t>Items &amp; products (variants, units, barcodes, serial/lot/expiry, images)</t>
  </si>
  <si>
    <t>Wafeq (Ben's trial, 30 Oct): products/services and units of measure on all plans; inventory tracking only on Premium. | Edara: NO TRIAL available; public sources only; demo requested.</t>
  </si>
  <si>
    <t>Warehouses &amp; locations</t>
  </si>
  <si>
    <t>Wafeq: multiple warehouses only on Premium (EGP 2,490/month): screenshot 'Upgrade to Premium to manage multiple warehouses and track stock levels'.</t>
  </si>
  <si>
    <t>Stock moves: receipts, issues, transfers, adjustments, counts</t>
  </si>
  <si>
    <t>Wafeq: stock tracking is Premium-only, so not testable in the Plus trial.</t>
  </si>
  <si>
    <t>Approvals &amp; workflows (thresholds, multi-level)</t>
  </si>
  <si>
    <t>Daftra: stock requests (pending, approve/reject, convert to requisition); leave requests multi-level. Thresholds/multi-level for stock not documented. | NetSuite: SuiteApprovals for specific record types; inventory transfers/adjustments need custom SuiteFlow. | Zoho: approvals for transfer orders and stock adjustments are opt-in (help page). | Odoo: separate Approvals app exists but no standard transfer gate.</t>
  </si>
  <si>
    <t>Purchasing: suppliers, requests, POs, receiving, returns, bills</t>
  </si>
  <si>
    <t>Wafeq: bills and purchase orders from Plus.</t>
  </si>
  <si>
    <t>Sales: customers, quotes, orders, delivery notes, returns, invoices, payments</t>
  </si>
  <si>
    <t>Pricing: price lists, discounts, tax (14% VAT), multi-currency</t>
  </si>
  <si>
    <t>Reports &amp; analytics (valuation, low stock, aging, export)</t>
  </si>
  <si>
    <t>Users, roles, permissions, audit/history</t>
  </si>
  <si>
    <t>Daftra: Activity Log (settings, products/services, projects, assets; permission-based; entries can't be deleted). Stock-movement coverage untested. | NetSuite: System Notes (who/when/field/old-new; cannot be edited by any user, script or app); roles restrictable by location. | ERPNext (SOURCE READ of a 17.0.0-dev checkout, 30 Oct; Frappe core not on disk; not a UI trial): track_changes is ON for Stock Entry but OFF for Material Request and Stock Reconciliation (adjustments and counts). Version doctype and whether entries can be edited or deleted: unconfirmed. | ERPNext (Frappe v15): Version records can be deleted by Administrator; Material Request and Stock Reconciliation do not track changes by default.</t>
  </si>
  <si>
    <t>Settings &amp; customization (custom fields, templates, numbering, branding)</t>
  </si>
  <si>
    <t>Integrations &amp; API (webhooks, e-commerce, accounting, WhatsApp, e-invoicing)</t>
  </si>
  <si>
    <t>Notifications &amp; tasks</t>
  </si>
  <si>
    <t>Daftra: Task Management app + notification bell (in-app). | NetSuite: tasks with email notify, reminders portlet.</t>
  </si>
  <si>
    <t>Mobile app / mobile web</t>
  </si>
  <si>
    <t>ERPNext (SOURCE READ of a 17.0.0-dev checkout, 30 Oct; Frappe core not on disk; not a UI trial): repo has no mobile or offline code (the mobile app is a separate project), so this says nothing about whether an app exists. Check the store.</t>
  </si>
  <si>
    <t>Onboarding &amp; import (CSV, sample data, wizard)</t>
  </si>
  <si>
    <t>Help, support &amp; language (Arabic, RTL, formats)</t>
  </si>
  <si>
    <t>Vendor</t>
  </si>
  <si>
    <t>First impression (clean/dense/dated/confusing)</t>
  </si>
  <si>
    <t>Minutes to finish scenario (receive, request, approve, issue)</t>
  </si>
  <si>
    <t>Clicks</t>
  </si>
  <si>
    <t>Arabic / RTL quality</t>
  </si>
  <si>
    <t>Phone experience</t>
  </si>
  <si>
    <t>Copy this</t>
  </si>
  <si>
    <t>Never copy this</t>
  </si>
  <si>
    <t>Edition / plan tested</t>
  </si>
  <si>
    <t>App</t>
  </si>
  <si>
    <t>Platform tested</t>
  </si>
  <si>
    <t>Store rating</t>
  </si>
  <si>
    <t>Download band</t>
  </si>
  <si>
    <t>Works offline?</t>
  </si>
  <si>
    <t>Approve stock on phone?</t>
  </si>
  <si>
    <t>Push notifications work?</t>
  </si>
  <si>
    <t>Arabic?</t>
  </si>
  <si>
    <t>Annoyances</t>
  </si>
  <si>
    <t>Screenshots logged?</t>
  </si>
  <si>
    <t>Edara (if any)</t>
  </si>
  <si>
    <t>iOS + Android</t>
  </si>
  <si>
    <t>4.0 (iOS, 34 reviews)</t>
  </si>
  <si>
    <t>Zoho Books</t>
  </si>
  <si>
    <t>Zoho Inventory</t>
  </si>
  <si>
    <t>iOS (push confirmed); Android not stated</t>
  </si>
  <si>
    <t>NetSuite: offline for supported activities (time, expenses, key metrics); My Approvals for supported records (not inventory transfers); push on iOS.</t>
  </si>
  <si>
    <t>ERPNext / Frappe</t>
  </si>
  <si>
    <t>Plan needed for warehouses/approvals</t>
  </si>
  <si>
    <t>Price 5 users (EGP/month)</t>
  </si>
  <si>
    <t>Price 15 users (EGP/month)</t>
  </si>
  <si>
    <t>Billed in</t>
  </si>
  <si>
    <t>Mobile app cost</t>
  </si>
  <si>
    <t>E-invoicing (ETA) cost</t>
  </si>
  <si>
    <t>Implementation / training cost</t>
  </si>
  <si>
    <t>Source (screenshot or sales reply)</t>
  </si>
  <si>
    <t>Date</t>
  </si>
  <si>
    <t>Unknown (plans Basic/Pro/Ultimate; which has approvals/warehouse features not confirmed)</t>
  </si>
  <si>
    <t>USD (no EGP price found)</t>
  </si>
  <si>
    <t>Native Egypt/KSA e-invoicing; extra cost not confirmed</t>
  </si>
  <si>
    <t>Not found; demo quote needed</t>
  </si>
  <si>
    <t>Public: USD 5/user + 29 base (Basic) or USD 34/user, sources conflict. UNCONFIRMED</t>
  </si>
  <si>
    <t>2026-10-29 (public sources)</t>
  </si>
  <si>
    <t>Advanced (3 warehouses) / Premium (5 warehouses)</t>
  </si>
  <si>
    <t>Not found (iOS + Android app exists; cost not found)</t>
  </si>
  <si>
    <t>Native Egypt, Saudi, Jordan, UAE; extra cost not confirmed</t>
  </si>
  <si>
    <t>Public: USD 41.25 / 50 per month, about USD 7 per extra user; included users conflict. UNCONFIRMED</t>
  </si>
  <si>
    <t>Standard has no native stock-approval gate; approvals via paid add-ons</t>
  </si>
  <si>
    <t>USD (Middle East list)</t>
  </si>
  <si>
    <t>Enterprise may include an ETA module (partner guide, verify); Community needs custom work</t>
  </si>
  <si>
    <t>Public: Standard USD 8.95, Custom USD 13.60 per user/month list; third-party tracker. UNCONFIRMED</t>
  </si>
  <si>
    <t>Elite for warehouse management (Zoho Books)</t>
  </si>
  <si>
    <t>Not found (extra-user price not in notes)</t>
  </si>
  <si>
    <t>USD global</t>
  </si>
  <si>
    <t>Not found (iOS + Android apps exist; cost not found)</t>
  </si>
  <si>
    <t>Third-party connector (Wanas Apps, QuiXcel, Biinnovate); price not found</t>
  </si>
  <si>
    <t>Public: Standard 15, Professional 40, Premium 60, Elite 120, Ultimate 240 per month. UNCONFIRMED for Egypt</t>
  </si>
  <si>
    <t>Premium (inventory, warehouses)</t>
  </si>
  <si>
    <t>EGP</t>
  </si>
  <si>
    <t>ETA option not seen</t>
  </si>
  <si>
    <t>Not found | Wafeq: quantity formula needs the paid 'Advanced customization' add-on (price not shown)</t>
  </si>
  <si>
    <t>From live trial page: EGP 850 / 1,386 / 2,490 per month; yearly 9,660 / 13,860 / 23,900; user caps 2/5/20</t>
  </si>
  <si>
    <t>2026-10-29 (live trial page)</t>
  </si>
  <si>
    <t>Unknown; Advanced Inventory module (about USD 500/month) likely needed; quote needed</t>
  </si>
  <si>
    <t>USD</t>
  </si>
  <si>
    <t>Add-on: ECOSIRE from USD 899 (ITPlicity also listed)</t>
  </si>
  <si>
    <t>USD 50,000-120,000 all-in first year for 5-10 users (partner blog; low confidence)</t>
  </si>
  <si>
    <t>Public + NetSuite chatbot (30 Oct): base USD 999-5,000+/month, full users USD 129-199, Advanced Inventory about USD 500/month. Source: partner blog. UNCONFIRMED; needs an Oracle quote</t>
  </si>
  <si>
    <t>Free software; Frappe Cloud from USD 5/site</t>
  </si>
  <si>
    <t>Custom work; no native module</t>
  </si>
  <si>
    <t>USD 15,000-100,000 (consultancy estimate); free software</t>
  </si>
  <si>
    <t>Public: implementations USD 15,000-100,000 (consultancy estimate). UNCONFIRMED</t>
  </si>
  <si>
    <t>PRICE CALCULATION (feeds columns C and D above). Blue = typed from our earlier docs; black = formula.</t>
  </si>
  <si>
    <t>USD to EGP rate</t>
  </si>
  <si>
    <t>Assumption: about EGP 56 per USD, CIB selling rate on 26 Oct 2026 (Arab Finance). The rate moved from about 52 to 56 during October, so update B12 before quoting.</t>
  </si>
  <si>
    <t>USD 5 users: low</t>
  </si>
  <si>
    <t>USD 5 users: high</t>
  </si>
  <si>
    <t>USD 15 users: low</t>
  </si>
  <si>
    <t>USD 15 users: high</t>
  </si>
  <si>
    <t>EGP 5 users: low</t>
  </si>
  <si>
    <t>EGP 5 users: high</t>
  </si>
  <si>
    <t>EGP 15 users: low</t>
  </si>
  <si>
    <t>EGP 15 users: high</t>
  </si>
  <si>
    <t>How the figures were built (from earlier docs)</t>
  </si>
  <si>
    <t>Low: USD 34 per month flat. High: USD 5 per user + USD 29 base (54 for 5 users, 104 for 15). Aggregators conflict; the old note in column I says 34 per user, which would be 170 / 510. Needs a demo quote.</t>
  </si>
  <si>
    <t>Premium (5 warehouses): USD 50 plus about USD 7 per extra user; included users conflict across sources, so a range (meeting prep and report).</t>
  </si>
  <si>
    <t>Low: Standard at list, USD 8.95 per user (about 45 / 134). High: Custom at list, USD 13.60 per user (68 / 204). Excludes paid approval add-ons (about USD 16-40) and Odoo AI credits. Third-party tracker.</t>
  </si>
  <si>
    <t>Zoho Books Elite, USD 120 per month (warehouse management, up to 5 warehouses). Users included and extra-user price not in our notes, so 15 users is left open. Egypt edition not confirmed.</t>
  </si>
  <si>
    <t>EGP typed directly from the live Egypt trial page: Premium EGP 2,490 per month (inventory and warehouses only on Premium; user cap 20 covers both 5 and 15). Yearly EGP 23,900.</t>
  </si>
  <si>
    <t>Source: NetSuite's chatbot citing a partner blog (brokenrubik.com), so LOW confidence; Oracle publishes no price list. Low = base USD 999/month + full users at USD 129 each. High = base USD 5,000 + users at USD 199 each. Excludes modules (Advanced Inventory about USD 500/month; WMS about USD 1,000-2,000/month) and implementation. Limited/self-service users about USD 15-25.</t>
  </si>
  <si>
    <t>Software is free (GPL-3.0). Floor is Frappe Cloud hosting from USD 5 per site. One-off implementation USD 15,000-100,000 (consultancy estimate) is not in these columns.</t>
  </si>
  <si>
    <t>Not included anywhere above: VAT, ETA e-invoicing add-ons, implementation or training, payment-gateway fees. All USD figures are public list prices and UNCONFIRMED until a trial or sales quote.</t>
  </si>
  <si>
    <t>Custom logo/colours</t>
  </si>
  <si>
    <t>Custom domain</t>
  </si>
  <si>
    <t>Reseller/partner program</t>
  </si>
  <si>
    <t>'Powered by' removable?</t>
  </si>
  <si>
    <t>Notes</t>
  </si>
  <si>
    <t>NO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</si>
</sst>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2" x14ac:knownFonts="1">
    <font>
      <sz val="11"/>
      <color theme="1"/>
      <name val="Calibri"/>
      <family val="2"/>
      <charset val="1"/>
    </font>
    <font>
      <sz val="10"/>
      <name val="Arial"/>
      <charset val="1"/>
    </font>
    <font>
      <b/>
      <sz val="10"/>
      <name val="Arial"/>
      <charset val="1"/>
    </font>
    <font>
      <b/>
      <sz val="10"/>
      <color rgb="FF006100"/>
      <name val="Arial"/>
      <charset val="1"/>
    </font>
    <font>
      <b/>
      <sz val="10"/>
      <color rgb="FFFFFFFF"/>
      <name val="Arial"/>
      <charset val="1"/>
    </font>
    <font>
      <b/>
      <sz val="11"/>
      <name val="Arial"/>
      <charset val="1"/>
    </font>
    <font>
      <sz val="10"/>
      <color rgb="FF006100"/>
      <name val="Arial"/>
      <charset val="1"/>
    </font>
    <font>
      <sz val="10"/>
      <color rgb="FF0000FF"/>
      <name val="Arial"/>
      <charset val="1"/>
    </font>
    <font>
      <i/>
      <sz val="9"/>
      <name val="Arial"/>
      <charset val="1"/>
    </font>
    <font>
      <b/>
      <sz val="10"/>
      <color rgb="FF006100"/>
      <name val="Arial"/>
    </font>
    <font>
      <sz val="10"/>
      <name val="Arial"/>
    </font>
    <font>
      <b/>
      <sz val="10"/>
      <name val="Arial"/>
    </font>
  </fonts>
  <fills count="7">
    <fill>
      <patternFill patternType="none"/>
    </fill>
    <fill>
      <patternFill patternType="gray125"/>
    </fill>
    <fill>
      <patternFill patternType="solid">
        <fgColor rgb="FFC6EFCE"/>
        <bgColor rgb="FFCCFFFF"/>
      </patternFill>
    </fill>
    <fill>
      <patternFill patternType="solid">
        <fgColor rgb="FF1F3A5F"/>
        <bgColor rgb="FF333333"/>
      </patternFill>
    </fill>
    <fill>
      <patternFill patternType="solid">
        <fgColor rgb="FFFFF2CC"/>
        <bgColor rgb="FFFFFFFF"/>
      </patternFill>
    </fill>
    <fill>
      <patternFill patternType="solid">
        <fgColor rgb="FFFFFF00"/>
        <bgColor rgb="FFFFFF00"/>
      </patternFill>
    </fill>
    <fill>
      <patternFill patternType="solid">
        <fgColor rgb="FFC6EFCE"/>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5">
    <xf numFmtId="0" fontId="0" fillId="0" borderId="0" xfId="0" applyAlignment="1"/>
    <xf numFmtId="0" fontId="0" fillId="0" borderId="0" xfId="0" applyAlignment="1"/>
    <xf numFmtId="0" fontId="2" fillId="0" borderId="0" xfId="0" applyFont="1" applyAlignment="1"/>
    <xf numFmtId="0" fontId="4" fillId="3" borderId="1" xfId="0" applyFont="1" applyFill="1" applyBorder="1" applyAlignment="1">
      <alignment vertical="center" wrapText="1"/>
    </xf>
    <xf numFmtId="0" fontId="1" fillId="0" borderId="1" xfId="0" applyFont="1" applyBorder="1" applyAlignment="1">
      <alignment vertical="top" wrapText="1"/>
    </xf>
    <xf numFmtId="0" fontId="1" fillId="4" borderId="1" xfId="0" applyFont="1" applyFill="1" applyBorder="1" applyAlignment="1">
      <alignment vertical="top" wrapText="1"/>
    </xf>
    <xf numFmtId="0" fontId="5" fillId="0" borderId="1" xfId="0" applyFont="1" applyBorder="1" applyAlignment="1">
      <alignment horizontal="center" vertical="top" wrapText="1"/>
    </xf>
    <xf numFmtId="0" fontId="9" fillId="6" borderId="1" xfId="0" applyFont="1" applyFill="1" applyBorder="1" applyAlignment="1">
      <alignment vertical="top" wrapText="1"/>
    </xf>
    <xf numFmtId="0" fontId="3" fillId="2" borderId="1" xfId="0" applyFont="1" applyFill="1" applyBorder="1" applyAlignment="1">
      <alignment horizontal="left" vertical="top" wrapText="1"/>
    </xf>
    <xf numFmtId="0" fontId="11" fillId="0" borderId="1" xfId="0" applyFont="1" applyBorder="1" applyAlignment="1">
      <alignment vertical="top" wrapText="1"/>
    </xf>
    <xf numFmtId="0" fontId="10" fillId="4" borderId="1" xfId="0" applyFont="1" applyFill="1" applyBorder="1" applyAlignment="1">
      <alignment vertical="top" wrapText="1"/>
    </xf>
    <xf numFmtId="0" fontId="3" fillId="2" borderId="1" xfId="0" applyFont="1" applyFill="1" applyBorder="1" applyAlignment="1">
      <alignment horizontal="center" vertical="top" wrapText="1"/>
    </xf>
    <xf numFmtId="0" fontId="3" fillId="2" borderId="1" xfId="0" applyFont="1" applyFill="1" applyBorder="1" applyAlignment="1">
      <alignment vertical="top" wrapText="1"/>
    </xf>
    <xf numFmtId="0" fontId="10" fillId="0" borderId="1" xfId="0" applyFont="1" applyBorder="1" applyAlignment="1">
      <alignment vertical="top" wrapText="1"/>
    </xf>
    <xf numFmtId="0" fontId="11" fillId="2" borderId="1" xfId="0" applyFont="1" applyFill="1" applyBorder="1" applyAlignment="1">
      <alignment vertical="top" wrapText="1"/>
    </xf>
    <xf numFmtId="0" fontId="5" fillId="0" borderId="1" xfId="0" applyFont="1" applyBorder="1" applyAlignment="1">
      <alignment vertical="top" wrapText="1"/>
    </xf>
    <xf numFmtId="0" fontId="6" fillId="2" borderId="1" xfId="0" applyFont="1" applyFill="1" applyBorder="1" applyAlignment="1">
      <alignment vertical="top" wrapText="1"/>
    </xf>
    <xf numFmtId="0" fontId="7" fillId="5" borderId="0" xfId="0" applyFont="1" applyFill="1" applyAlignment="1"/>
    <xf numFmtId="0" fontId="4" fillId="3" borderId="1" xfId="0" applyFont="1" applyFill="1" applyBorder="1" applyAlignment="1">
      <alignment horizontal="center" vertical="center" wrapText="1"/>
    </xf>
    <xf numFmtId="3" fontId="7" fillId="0" borderId="1" xfId="0" applyNumberFormat="1" applyFont="1" applyBorder="1" applyAlignment="1">
      <alignment vertical="top" wrapText="1"/>
    </xf>
    <xf numFmtId="3" fontId="1" fillId="0" borderId="1" xfId="0" applyNumberFormat="1" applyFont="1" applyBorder="1" applyAlignment="1">
      <alignment vertical="top" wrapText="1"/>
    </xf>
    <xf numFmtId="164" fontId="1" fillId="0" borderId="1" xfId="0" applyNumberFormat="1" applyFont="1" applyBorder="1" applyAlignment="1">
      <alignment vertical="top" wrapText="1"/>
    </xf>
    <xf numFmtId="0" fontId="8" fillId="0" borderId="0" xfId="0" applyFont="1" applyAlignment="1">
      <alignment vertical="top" wrapText="1"/>
    </xf>
    <xf numFmtId="0" fontId="0" fillId="0" borderId="0" xfId="0" applyAlignme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62" style="1" customWidth="1"/>
    <col min="2" max="8" width="13" style="1" customWidth="1"/>
    <col min="9" max="9" width="50" style="1" customWidth="1"/>
  </cols>
  <sheetData>
    <row r="1" spans="1:9" ht="15" customHeight="1" x14ac:dyDescent="0.25">
      <c r="A1" s="3" t="s">
        <v>8</v>
      </c>
      <c r="B1" s="3" t="s">
        <v>0</v>
      </c>
      <c r="C1" s="3" t="s">
        <v>1</v>
      </c>
      <c r="D1" s="3" t="s">
        <v>2</v>
      </c>
      <c r="E1" s="3" t="s">
        <v>3</v>
      </c>
      <c r="F1" s="3" t="s">
        <v>4</v>
      </c>
      <c r="G1" s="3" t="s">
        <v>5</v>
      </c>
      <c r="H1" s="3" t="s">
        <v>6</v>
      </c>
      <c r="I1" s="3" t="s">
        <v>9</v>
      </c>
    </row>
    <row r="2" spans="1:9" ht="165.75" x14ac:dyDescent="0.25">
      <c r="A2" s="5" t="s">
        <v>10</v>
      </c>
      <c r="B2" s="6" t="s">
        <v>11</v>
      </c>
      <c r="C2" s="6" t="s">
        <v>11</v>
      </c>
      <c r="D2" s="6" t="s">
        <v>11</v>
      </c>
      <c r="E2" s="7" t="s">
        <v>12</v>
      </c>
      <c r="F2" s="6" t="s">
        <v>11</v>
      </c>
      <c r="G2" s="8" t="s">
        <v>12</v>
      </c>
      <c r="H2" s="9" t="s">
        <v>13</v>
      </c>
      <c r="I2" s="10" t="s">
        <v>14</v>
      </c>
    </row>
    <row r="3" spans="1:9" ht="102" x14ac:dyDescent="0.25">
      <c r="A3" s="5" t="s">
        <v>15</v>
      </c>
      <c r="B3" s="6" t="s">
        <v>11</v>
      </c>
      <c r="C3" s="6" t="s">
        <v>16</v>
      </c>
      <c r="D3" s="6" t="s">
        <v>11</v>
      </c>
      <c r="E3" s="9" t="s">
        <v>11</v>
      </c>
      <c r="F3" s="6" t="s">
        <v>11</v>
      </c>
      <c r="G3" s="8" t="s">
        <v>12</v>
      </c>
      <c r="H3" s="6" t="s">
        <v>16</v>
      </c>
      <c r="I3" s="10" t="s">
        <v>17</v>
      </c>
    </row>
    <row r="4" spans="1:9" ht="48" customHeight="1" x14ac:dyDescent="0.25">
      <c r="A4" s="5" t="s">
        <v>18</v>
      </c>
      <c r="B4" s="6" t="s">
        <v>16</v>
      </c>
      <c r="C4" s="8" t="s">
        <v>12</v>
      </c>
      <c r="D4" s="6" t="s">
        <v>11</v>
      </c>
      <c r="E4" s="9" t="s">
        <v>12</v>
      </c>
      <c r="F4" s="6" t="s">
        <v>16</v>
      </c>
      <c r="G4" s="8" t="s">
        <v>12</v>
      </c>
      <c r="H4" s="11" t="s">
        <v>12</v>
      </c>
      <c r="I4" s="10" t="s">
        <v>19</v>
      </c>
    </row>
    <row r="5" spans="1:9" ht="48" customHeight="1" x14ac:dyDescent="0.25">
      <c r="A5" s="5" t="s">
        <v>20</v>
      </c>
      <c r="B5" s="6" t="s">
        <v>16</v>
      </c>
      <c r="C5" s="6" t="s">
        <v>11</v>
      </c>
      <c r="D5" s="6" t="s">
        <v>11</v>
      </c>
      <c r="E5" s="9" t="s">
        <v>12</v>
      </c>
      <c r="F5" s="6" t="s">
        <v>16</v>
      </c>
      <c r="G5" s="6" t="s">
        <v>11</v>
      </c>
      <c r="H5" s="7" t="s">
        <v>12</v>
      </c>
      <c r="I5" s="10" t="s">
        <v>21</v>
      </c>
    </row>
    <row r="6" spans="1:9" ht="48" customHeight="1" x14ac:dyDescent="0.25">
      <c r="A6" s="5" t="s">
        <v>22</v>
      </c>
      <c r="B6" s="6" t="s">
        <v>11</v>
      </c>
      <c r="C6" s="12" t="s">
        <v>12</v>
      </c>
      <c r="D6" s="8" t="s">
        <v>12</v>
      </c>
      <c r="E6" s="9" t="s">
        <v>23</v>
      </c>
      <c r="F6" s="8" t="s">
        <v>12</v>
      </c>
      <c r="G6" s="8" t="s">
        <v>12</v>
      </c>
      <c r="H6" s="6" t="s">
        <v>16</v>
      </c>
      <c r="I6" s="10" t="s">
        <v>24</v>
      </c>
    </row>
    <row r="7" spans="1:9" ht="48" customHeight="1" x14ac:dyDescent="0.25">
      <c r="A7" s="5" t="s">
        <v>25</v>
      </c>
      <c r="B7" s="6" t="s">
        <v>11</v>
      </c>
      <c r="C7" s="12" t="s">
        <v>13</v>
      </c>
      <c r="D7" s="6" t="s">
        <v>11</v>
      </c>
      <c r="E7" s="7" t="s">
        <v>13</v>
      </c>
      <c r="F7" s="6" t="s">
        <v>11</v>
      </c>
      <c r="G7" s="8" t="s">
        <v>7</v>
      </c>
      <c r="H7" s="7" t="s">
        <v>7</v>
      </c>
      <c r="I7" s="10" t="s">
        <v>26</v>
      </c>
    </row>
    <row r="8" spans="1:9" ht="48" customHeight="1" x14ac:dyDescent="0.25">
      <c r="A8" s="5" t="s">
        <v>27</v>
      </c>
      <c r="B8" s="6" t="s">
        <v>16</v>
      </c>
      <c r="C8" s="6" t="s">
        <v>11</v>
      </c>
      <c r="D8" s="6" t="s">
        <v>16</v>
      </c>
      <c r="E8" s="9" t="s">
        <v>23</v>
      </c>
      <c r="F8" s="6" t="s">
        <v>16</v>
      </c>
      <c r="G8" s="8" t="s">
        <v>13</v>
      </c>
      <c r="H8" s="6" t="s">
        <v>7</v>
      </c>
      <c r="I8" s="10" t="s">
        <v>28</v>
      </c>
    </row>
    <row r="9" spans="1:9" ht="48" customHeight="1" x14ac:dyDescent="0.25">
      <c r="A9" s="4" t="s">
        <v>29</v>
      </c>
      <c r="B9" s="6" t="s">
        <v>11</v>
      </c>
      <c r="C9" s="7" t="s">
        <v>13</v>
      </c>
      <c r="D9" s="7" t="s">
        <v>23</v>
      </c>
      <c r="E9" s="7" t="s">
        <v>12</v>
      </c>
      <c r="F9" s="6" t="s">
        <v>11</v>
      </c>
      <c r="G9" s="8" t="s">
        <v>23</v>
      </c>
      <c r="H9" s="6" t="s">
        <v>13</v>
      </c>
      <c r="I9" s="13" t="s">
        <v>30</v>
      </c>
    </row>
  </sheetData>
  <dataValidations count="1">
    <dataValidation type="list" allowBlank="1" sqref="B2:H9">
      <formula1>"Yes,Partial,No,Not found,Not tested,x,?"</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62" style="1" customWidth="1"/>
    <col min="2" max="8" width="13" style="1" customWidth="1"/>
    <col min="9" max="9" width="50" style="1" customWidth="1"/>
  </cols>
  <sheetData>
    <row r="1" spans="1:9" ht="15" customHeight="1" x14ac:dyDescent="0.25">
      <c r="A1" s="3" t="s">
        <v>31</v>
      </c>
      <c r="B1" s="3" t="s">
        <v>0</v>
      </c>
      <c r="C1" s="3" t="s">
        <v>1</v>
      </c>
      <c r="D1" s="3" t="s">
        <v>2</v>
      </c>
      <c r="E1" s="3" t="s">
        <v>3</v>
      </c>
      <c r="F1" s="3" t="s">
        <v>4</v>
      </c>
      <c r="G1" s="3" t="s">
        <v>5</v>
      </c>
      <c r="H1" s="3" t="s">
        <v>6</v>
      </c>
      <c r="I1" s="3" t="s">
        <v>32</v>
      </c>
    </row>
    <row r="2" spans="1:9" ht="36" customHeight="1" x14ac:dyDescent="0.25">
      <c r="A2" s="4" t="s">
        <v>33</v>
      </c>
      <c r="B2" s="6" t="s">
        <v>11</v>
      </c>
      <c r="C2" s="6" t="s">
        <v>11</v>
      </c>
      <c r="D2" s="8" t="s">
        <v>12</v>
      </c>
      <c r="E2" s="8" t="s">
        <v>12</v>
      </c>
      <c r="F2" s="6" t="s">
        <v>11</v>
      </c>
      <c r="G2" s="8" t="s">
        <v>12</v>
      </c>
      <c r="H2" s="8" t="s">
        <v>12</v>
      </c>
      <c r="I2" s="4"/>
    </row>
    <row r="3" spans="1:9" ht="36" customHeight="1" x14ac:dyDescent="0.25">
      <c r="A3" s="4" t="s">
        <v>34</v>
      </c>
      <c r="B3" s="8" t="s">
        <v>12</v>
      </c>
      <c r="C3" s="8" t="s">
        <v>12</v>
      </c>
      <c r="D3" s="8" t="s">
        <v>12</v>
      </c>
      <c r="E3" s="8" t="s">
        <v>12</v>
      </c>
      <c r="F3" s="12" t="s">
        <v>13</v>
      </c>
      <c r="G3" s="8" t="s">
        <v>12</v>
      </c>
      <c r="H3" s="8" t="s">
        <v>12</v>
      </c>
      <c r="I3" s="13" t="s">
        <v>35</v>
      </c>
    </row>
    <row r="4" spans="1:9" ht="36" customHeight="1" x14ac:dyDescent="0.25">
      <c r="A4" s="4" t="s">
        <v>36</v>
      </c>
      <c r="B4" s="8" t="s">
        <v>12</v>
      </c>
      <c r="C4" s="8" t="s">
        <v>12</v>
      </c>
      <c r="D4" s="8" t="s">
        <v>12</v>
      </c>
      <c r="E4" s="8" t="s">
        <v>12</v>
      </c>
      <c r="F4" s="12" t="s">
        <v>13</v>
      </c>
      <c r="G4" s="8" t="s">
        <v>12</v>
      </c>
      <c r="H4" s="8" t="s">
        <v>12</v>
      </c>
      <c r="I4" s="4" t="s">
        <v>37</v>
      </c>
    </row>
    <row r="5" spans="1:9" ht="36" customHeight="1" x14ac:dyDescent="0.25">
      <c r="A5" s="4" t="s">
        <v>38</v>
      </c>
      <c r="B5" s="8" t="s">
        <v>12</v>
      </c>
      <c r="C5" s="8" t="s">
        <v>12</v>
      </c>
      <c r="D5" s="8" t="s">
        <v>12</v>
      </c>
      <c r="E5" s="8" t="s">
        <v>12</v>
      </c>
      <c r="F5" s="12" t="s">
        <v>13</v>
      </c>
      <c r="G5" s="8" t="s">
        <v>12</v>
      </c>
      <c r="H5" s="8" t="s">
        <v>12</v>
      </c>
      <c r="I5" s="4" t="s">
        <v>39</v>
      </c>
    </row>
    <row r="6" spans="1:9" ht="36" customHeight="1" x14ac:dyDescent="0.25">
      <c r="A6" s="4" t="s">
        <v>40</v>
      </c>
      <c r="B6" s="6" t="s">
        <v>11</v>
      </c>
      <c r="C6" s="8" t="s">
        <v>13</v>
      </c>
      <c r="D6" s="7" t="s">
        <v>13</v>
      </c>
      <c r="E6" s="7" t="s">
        <v>12</v>
      </c>
      <c r="F6" s="6" t="s">
        <v>11</v>
      </c>
      <c r="G6" s="8" t="s">
        <v>13</v>
      </c>
      <c r="H6" s="8" t="s">
        <v>12</v>
      </c>
      <c r="I6" s="13" t="s">
        <v>41</v>
      </c>
    </row>
    <row r="7" spans="1:9" ht="36" customHeight="1" x14ac:dyDescent="0.25">
      <c r="A7" s="4" t="s">
        <v>42</v>
      </c>
      <c r="B7" s="8" t="s">
        <v>12</v>
      </c>
      <c r="C7" s="8" t="s">
        <v>13</v>
      </c>
      <c r="D7" s="8" t="s">
        <v>12</v>
      </c>
      <c r="E7" s="8" t="s">
        <v>12</v>
      </c>
      <c r="F7" s="6" t="s">
        <v>11</v>
      </c>
      <c r="G7" s="8" t="s">
        <v>12</v>
      </c>
      <c r="H7" s="8" t="s">
        <v>12</v>
      </c>
      <c r="I7" s="4" t="s">
        <v>43</v>
      </c>
    </row>
    <row r="8" spans="1:9" ht="36" customHeight="1" x14ac:dyDescent="0.25">
      <c r="A8" s="4" t="s">
        <v>44</v>
      </c>
      <c r="B8" s="8" t="s">
        <v>12</v>
      </c>
      <c r="C8" s="8" t="s">
        <v>12</v>
      </c>
      <c r="D8" s="8" t="s">
        <v>12</v>
      </c>
      <c r="E8" s="8" t="s">
        <v>12</v>
      </c>
      <c r="F8" s="6" t="s">
        <v>11</v>
      </c>
      <c r="G8" s="8" t="s">
        <v>12</v>
      </c>
      <c r="H8" s="8" t="s">
        <v>12</v>
      </c>
      <c r="I8" s="4"/>
    </row>
    <row r="9" spans="1:9" ht="36" customHeight="1" x14ac:dyDescent="0.25">
      <c r="A9" s="4" t="s">
        <v>45</v>
      </c>
      <c r="B9" s="6" t="s">
        <v>11</v>
      </c>
      <c r="C9" s="6" t="s">
        <v>11</v>
      </c>
      <c r="D9" s="6" t="s">
        <v>11</v>
      </c>
      <c r="E9" s="6" t="s">
        <v>11</v>
      </c>
      <c r="F9" s="6" t="s">
        <v>11</v>
      </c>
      <c r="G9" s="6" t="s">
        <v>11</v>
      </c>
      <c r="H9" s="6" t="s">
        <v>11</v>
      </c>
      <c r="I9" s="4"/>
    </row>
    <row r="10" spans="1:9" ht="36" customHeight="1" x14ac:dyDescent="0.25">
      <c r="A10" s="4" t="s">
        <v>46</v>
      </c>
      <c r="B10" s="8" t="s">
        <v>12</v>
      </c>
      <c r="C10" s="8" t="s">
        <v>12</v>
      </c>
      <c r="D10" s="8" t="s">
        <v>12</v>
      </c>
      <c r="E10" s="8" t="s">
        <v>12</v>
      </c>
      <c r="F10" s="8" t="s">
        <v>12</v>
      </c>
      <c r="G10" s="8" t="s">
        <v>12</v>
      </c>
      <c r="H10" s="8" t="s">
        <v>12</v>
      </c>
      <c r="I10" s="4"/>
    </row>
    <row r="11" spans="1:9" ht="36" customHeight="1" x14ac:dyDescent="0.25">
      <c r="A11" s="4" t="s">
        <v>47</v>
      </c>
      <c r="B11" s="6" t="s">
        <v>11</v>
      </c>
      <c r="C11" s="8" t="s">
        <v>12</v>
      </c>
      <c r="D11" s="6" t="s">
        <v>11</v>
      </c>
      <c r="E11" s="6" t="s">
        <v>11</v>
      </c>
      <c r="F11" s="6" t="s">
        <v>11</v>
      </c>
      <c r="G11" s="8" t="s">
        <v>12</v>
      </c>
      <c r="H11" s="14" t="s">
        <v>13</v>
      </c>
      <c r="I11" s="13" t="s">
        <v>48</v>
      </c>
    </row>
    <row r="12" spans="1:9" ht="36" customHeight="1" x14ac:dyDescent="0.25">
      <c r="A12" s="4" t="s">
        <v>49</v>
      </c>
      <c r="B12" s="6" t="s">
        <v>11</v>
      </c>
      <c r="C12" s="6" t="s">
        <v>11</v>
      </c>
      <c r="D12" s="6" t="s">
        <v>11</v>
      </c>
      <c r="E12" s="6" t="s">
        <v>11</v>
      </c>
      <c r="F12" s="6" t="s">
        <v>11</v>
      </c>
      <c r="G12" s="8" t="s">
        <v>12</v>
      </c>
      <c r="H12" s="6" t="s">
        <v>11</v>
      </c>
      <c r="I12" s="4"/>
    </row>
    <row r="13" spans="1:9" ht="36" customHeight="1" x14ac:dyDescent="0.25">
      <c r="A13" s="4" t="s">
        <v>50</v>
      </c>
      <c r="B13" s="8" t="s">
        <v>12</v>
      </c>
      <c r="C13" s="8" t="s">
        <v>12</v>
      </c>
      <c r="D13" s="8" t="s">
        <v>12</v>
      </c>
      <c r="E13" s="8" t="s">
        <v>12</v>
      </c>
      <c r="F13" s="8" t="s">
        <v>12</v>
      </c>
      <c r="G13" s="8" t="s">
        <v>12</v>
      </c>
      <c r="H13" s="8" t="s">
        <v>12</v>
      </c>
      <c r="I13" s="4"/>
    </row>
    <row r="14" spans="1:9" ht="36" customHeight="1" x14ac:dyDescent="0.25">
      <c r="A14" s="4" t="s">
        <v>51</v>
      </c>
      <c r="B14" s="6" t="s">
        <v>11</v>
      </c>
      <c r="C14" s="8" t="s">
        <v>12</v>
      </c>
      <c r="D14" s="6" t="s">
        <v>11</v>
      </c>
      <c r="E14" s="6" t="s">
        <v>11</v>
      </c>
      <c r="F14" s="6" t="s">
        <v>11</v>
      </c>
      <c r="G14" s="8" t="s">
        <v>12</v>
      </c>
      <c r="H14" s="6" t="s">
        <v>11</v>
      </c>
      <c r="I14" s="4" t="s">
        <v>52</v>
      </c>
    </row>
    <row r="15" spans="1:9" ht="36" customHeight="1" x14ac:dyDescent="0.25">
      <c r="A15" s="4" t="s">
        <v>53</v>
      </c>
      <c r="B15" s="6" t="s">
        <v>11</v>
      </c>
      <c r="C15" s="8" t="s">
        <v>12</v>
      </c>
      <c r="D15" s="8" t="s">
        <v>12</v>
      </c>
      <c r="E15" s="8" t="s">
        <v>12</v>
      </c>
      <c r="F15" s="6" t="s">
        <v>11</v>
      </c>
      <c r="G15" s="8" t="s">
        <v>12</v>
      </c>
      <c r="H15" s="6" t="s">
        <v>11</v>
      </c>
      <c r="I15" s="4" t="s">
        <v>54</v>
      </c>
    </row>
    <row r="16" spans="1:9" ht="36" customHeight="1" x14ac:dyDescent="0.25">
      <c r="A16" s="4" t="s">
        <v>55</v>
      </c>
      <c r="B16" s="6" t="s">
        <v>11</v>
      </c>
      <c r="C16" s="6" t="s">
        <v>11</v>
      </c>
      <c r="D16" s="6" t="s">
        <v>11</v>
      </c>
      <c r="E16" s="6" t="s">
        <v>11</v>
      </c>
      <c r="F16" s="6" t="s">
        <v>11</v>
      </c>
      <c r="G16" s="6" t="s">
        <v>11</v>
      </c>
      <c r="H16" s="6" t="s">
        <v>11</v>
      </c>
      <c r="I16" s="4"/>
    </row>
    <row r="17" spans="1:9" ht="36" customHeight="1" x14ac:dyDescent="0.25">
      <c r="A17" s="4" t="s">
        <v>56</v>
      </c>
      <c r="B17" s="6" t="s">
        <v>11</v>
      </c>
      <c r="C17" s="6" t="s">
        <v>11</v>
      </c>
      <c r="D17" s="8" t="s">
        <v>12</v>
      </c>
      <c r="E17" s="6" t="s">
        <v>11</v>
      </c>
      <c r="F17" s="8" t="s">
        <v>12</v>
      </c>
      <c r="G17" s="6" t="s">
        <v>11</v>
      </c>
      <c r="H17" s="6" t="s">
        <v>11</v>
      </c>
      <c r="I17" s="4"/>
    </row>
  </sheetData>
  <dataValidations count="1">
    <dataValidation type="list" allowBlank="1" sqref="B2:H17">
      <formula1>"Yes,Partial,No,Not found,Not tested,x,?"</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zoomScaleNormal="100" workbookViewId="0"/>
  </sheetViews>
  <sheetFormatPr defaultColWidth="8.7109375" defaultRowHeight="15" x14ac:dyDescent="0.25"/>
  <cols>
    <col min="1" max="1" width="14" style="1" customWidth="1"/>
    <col min="2" max="2" width="34" style="1" customWidth="1"/>
    <col min="3" max="3" width="24" style="1" customWidth="1"/>
    <col min="4" max="4" width="8" style="1" customWidth="1"/>
    <col min="5" max="8" width="30" style="1" customWidth="1"/>
    <col min="9" max="9" width="22" style="1" customWidth="1"/>
  </cols>
  <sheetData>
    <row r="1" spans="1:9" ht="34.5" customHeight="1" x14ac:dyDescent="0.25">
      <c r="A1" s="3" t="s">
        <v>57</v>
      </c>
      <c r="B1" s="3" t="s">
        <v>58</v>
      </c>
      <c r="C1" s="3" t="s">
        <v>59</v>
      </c>
      <c r="D1" s="3" t="s">
        <v>60</v>
      </c>
      <c r="E1" s="3" t="s">
        <v>61</v>
      </c>
      <c r="F1" s="3" t="s">
        <v>62</v>
      </c>
      <c r="G1" s="3" t="s">
        <v>63</v>
      </c>
      <c r="H1" s="3" t="s">
        <v>64</v>
      </c>
      <c r="I1" s="3" t="s">
        <v>65</v>
      </c>
    </row>
    <row r="2" spans="1:9" ht="48" customHeight="1" x14ac:dyDescent="0.25">
      <c r="A2" s="4" t="s">
        <v>0</v>
      </c>
      <c r="B2" s="6" t="s">
        <v>16</v>
      </c>
      <c r="C2" s="6" t="s">
        <v>16</v>
      </c>
      <c r="D2" s="6" t="s">
        <v>16</v>
      </c>
      <c r="E2" s="6" t="s">
        <v>11</v>
      </c>
      <c r="F2" s="6" t="s">
        <v>16</v>
      </c>
      <c r="G2" s="6" t="s">
        <v>16</v>
      </c>
      <c r="H2" s="6" t="s">
        <v>16</v>
      </c>
      <c r="I2" s="6" t="s">
        <v>16</v>
      </c>
    </row>
    <row r="3" spans="1:9" ht="48" customHeight="1" x14ac:dyDescent="0.25">
      <c r="A3" s="4" t="s">
        <v>1</v>
      </c>
      <c r="B3" s="6" t="s">
        <v>16</v>
      </c>
      <c r="C3" s="6" t="s">
        <v>16</v>
      </c>
      <c r="D3" s="6" t="s">
        <v>16</v>
      </c>
      <c r="E3" s="6" t="s">
        <v>11</v>
      </c>
      <c r="F3" s="6" t="s">
        <v>11</v>
      </c>
      <c r="G3" s="6" t="s">
        <v>16</v>
      </c>
      <c r="H3" s="6" t="s">
        <v>16</v>
      </c>
      <c r="I3" s="6" t="s">
        <v>16</v>
      </c>
    </row>
    <row r="4" spans="1:9" ht="48" customHeight="1" x14ac:dyDescent="0.25">
      <c r="A4" s="4" t="s">
        <v>2</v>
      </c>
      <c r="B4" s="6" t="s">
        <v>16</v>
      </c>
      <c r="C4" s="6" t="s">
        <v>16</v>
      </c>
      <c r="D4" s="6" t="s">
        <v>16</v>
      </c>
      <c r="E4" s="6" t="s">
        <v>11</v>
      </c>
      <c r="F4" s="6" t="s">
        <v>11</v>
      </c>
      <c r="G4" s="6" t="s">
        <v>16</v>
      </c>
      <c r="H4" s="6" t="s">
        <v>16</v>
      </c>
      <c r="I4" s="6" t="s">
        <v>16</v>
      </c>
    </row>
    <row r="5" spans="1:9" ht="48" customHeight="1" x14ac:dyDescent="0.25">
      <c r="A5" s="4" t="s">
        <v>3</v>
      </c>
      <c r="B5" s="6" t="s">
        <v>16</v>
      </c>
      <c r="C5" s="6" t="s">
        <v>16</v>
      </c>
      <c r="D5" s="6" t="s">
        <v>16</v>
      </c>
      <c r="E5" s="6" t="s">
        <v>11</v>
      </c>
      <c r="F5" s="6" t="s">
        <v>11</v>
      </c>
      <c r="G5" s="6" t="s">
        <v>16</v>
      </c>
      <c r="H5" s="6" t="s">
        <v>16</v>
      </c>
      <c r="I5" s="6" t="s">
        <v>16</v>
      </c>
    </row>
    <row r="6" spans="1:9" ht="48" customHeight="1" x14ac:dyDescent="0.25">
      <c r="A6" s="4" t="s">
        <v>4</v>
      </c>
      <c r="B6" s="6" t="s">
        <v>16</v>
      </c>
      <c r="C6" s="6" t="s">
        <v>16</v>
      </c>
      <c r="D6" s="6" t="s">
        <v>16</v>
      </c>
      <c r="E6" s="6" t="s">
        <v>11</v>
      </c>
      <c r="F6" s="6" t="s">
        <v>16</v>
      </c>
      <c r="G6" s="6" t="s">
        <v>16</v>
      </c>
      <c r="H6" s="6" t="s">
        <v>16</v>
      </c>
      <c r="I6" s="6" t="s">
        <v>16</v>
      </c>
    </row>
    <row r="7" spans="1:9" ht="48" customHeight="1" x14ac:dyDescent="0.25">
      <c r="A7" s="4" t="s">
        <v>5</v>
      </c>
      <c r="B7" s="6" t="s">
        <v>16</v>
      </c>
      <c r="C7" s="6" t="s">
        <v>16</v>
      </c>
      <c r="D7" s="6" t="s">
        <v>16</v>
      </c>
      <c r="E7" s="6" t="s">
        <v>11</v>
      </c>
      <c r="F7" s="6" t="s">
        <v>11</v>
      </c>
      <c r="G7" s="6" t="s">
        <v>16</v>
      </c>
      <c r="H7" s="6" t="s">
        <v>16</v>
      </c>
      <c r="I7" s="6" t="s">
        <v>16</v>
      </c>
    </row>
    <row r="8" spans="1:9" ht="48" customHeight="1" x14ac:dyDescent="0.25">
      <c r="A8" s="4" t="s">
        <v>6</v>
      </c>
      <c r="B8" s="6" t="s">
        <v>16</v>
      </c>
      <c r="C8" s="6" t="s">
        <v>16</v>
      </c>
      <c r="D8" s="6" t="s">
        <v>16</v>
      </c>
      <c r="E8" s="6" t="s">
        <v>16</v>
      </c>
      <c r="F8" s="6" t="s">
        <v>16</v>
      </c>
      <c r="G8" s="6" t="s">
        <v>16</v>
      </c>
      <c r="H8" s="6" t="s">
        <v>16</v>
      </c>
      <c r="I8" s="6" t="s">
        <v>16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zoomScaleNormal="100" workbookViewId="0">
      <selection activeCell="I9" sqref="I9"/>
    </sheetView>
  </sheetViews>
  <sheetFormatPr defaultColWidth="8.7109375" defaultRowHeight="15" x14ac:dyDescent="0.25"/>
  <cols>
    <col min="1" max="1" width="26" style="1" customWidth="1"/>
    <col min="2" max="2" width="14" style="1" customWidth="1"/>
    <col min="3" max="3" width="12" style="1" customWidth="1"/>
    <col min="4" max="5" width="14" style="1" customWidth="1"/>
    <col min="6" max="7" width="18" style="1" customWidth="1"/>
    <col min="8" max="8" width="12" style="1" customWidth="1"/>
    <col min="9" max="9" width="40" style="1" customWidth="1"/>
    <col min="10" max="10" width="14" style="1" customWidth="1"/>
  </cols>
  <sheetData>
    <row r="1" spans="1:10" ht="23.25" customHeight="1" x14ac:dyDescent="0.25">
      <c r="A1" s="3" t="s">
        <v>66</v>
      </c>
      <c r="B1" s="3" t="s">
        <v>67</v>
      </c>
      <c r="C1" s="3" t="s">
        <v>68</v>
      </c>
      <c r="D1" s="3" t="s">
        <v>69</v>
      </c>
      <c r="E1" s="3" t="s">
        <v>70</v>
      </c>
      <c r="F1" s="3" t="s">
        <v>71</v>
      </c>
      <c r="G1" s="3" t="s">
        <v>72</v>
      </c>
      <c r="H1" s="3" t="s">
        <v>73</v>
      </c>
      <c r="I1" s="3" t="s">
        <v>74</v>
      </c>
      <c r="J1" s="3" t="s">
        <v>75</v>
      </c>
    </row>
    <row r="2" spans="1:10" ht="15" customHeight="1" x14ac:dyDescent="0.25">
      <c r="A2" s="4" t="s">
        <v>76</v>
      </c>
      <c r="B2" s="6" t="s">
        <v>16</v>
      </c>
      <c r="C2" s="6" t="s">
        <v>16</v>
      </c>
      <c r="D2" s="6" t="s">
        <v>16</v>
      </c>
      <c r="E2" s="6" t="s">
        <v>16</v>
      </c>
      <c r="F2" s="6" t="s">
        <v>16</v>
      </c>
      <c r="G2" s="6" t="s">
        <v>16</v>
      </c>
      <c r="H2" s="6" t="s">
        <v>16</v>
      </c>
      <c r="I2" s="6" t="s">
        <v>11</v>
      </c>
      <c r="J2" s="4"/>
    </row>
    <row r="3" spans="1:10" ht="23.25" customHeight="1" x14ac:dyDescent="0.25">
      <c r="A3" s="4" t="s">
        <v>1</v>
      </c>
      <c r="B3" s="8" t="s">
        <v>77</v>
      </c>
      <c r="C3" s="8" t="s">
        <v>78</v>
      </c>
      <c r="D3" s="6" t="s">
        <v>16</v>
      </c>
      <c r="E3" s="6" t="s">
        <v>11</v>
      </c>
      <c r="F3" s="6" t="s">
        <v>16</v>
      </c>
      <c r="G3" s="6" t="s">
        <v>16</v>
      </c>
      <c r="H3" s="6" t="s">
        <v>16</v>
      </c>
      <c r="I3" s="6" t="s">
        <v>16</v>
      </c>
      <c r="J3" s="4"/>
    </row>
    <row r="4" spans="1:10" ht="15" customHeight="1" x14ac:dyDescent="0.25">
      <c r="A4" s="4" t="s">
        <v>2</v>
      </c>
      <c r="B4" s="8" t="s">
        <v>77</v>
      </c>
      <c r="C4" s="6" t="s">
        <v>16</v>
      </c>
      <c r="D4" s="6" t="s">
        <v>16</v>
      </c>
      <c r="E4" s="6" t="s">
        <v>11</v>
      </c>
      <c r="F4" s="6" t="s">
        <v>16</v>
      </c>
      <c r="G4" s="6" t="s">
        <v>16</v>
      </c>
      <c r="H4" s="6" t="s">
        <v>16</v>
      </c>
      <c r="I4" s="6" t="s">
        <v>16</v>
      </c>
      <c r="J4" s="4"/>
    </row>
    <row r="5" spans="1:10" ht="15" customHeight="1" x14ac:dyDescent="0.25">
      <c r="A5" s="4" t="s">
        <v>79</v>
      </c>
      <c r="B5" s="8" t="s">
        <v>77</v>
      </c>
      <c r="C5" s="6" t="s">
        <v>16</v>
      </c>
      <c r="D5" s="6" t="s">
        <v>16</v>
      </c>
      <c r="E5" s="6" t="s">
        <v>16</v>
      </c>
      <c r="F5" s="6" t="s">
        <v>16</v>
      </c>
      <c r="G5" s="6" t="s">
        <v>16</v>
      </c>
      <c r="H5" s="6" t="s">
        <v>16</v>
      </c>
      <c r="I5" s="6" t="s">
        <v>16</v>
      </c>
      <c r="J5" s="4"/>
    </row>
    <row r="6" spans="1:10" ht="15" customHeight="1" x14ac:dyDescent="0.25">
      <c r="A6" s="4" t="s">
        <v>80</v>
      </c>
      <c r="B6" s="8" t="s">
        <v>77</v>
      </c>
      <c r="C6" s="6" t="s">
        <v>16</v>
      </c>
      <c r="D6" s="6" t="s">
        <v>16</v>
      </c>
      <c r="E6" s="6" t="s">
        <v>16</v>
      </c>
      <c r="F6" s="6" t="s">
        <v>16</v>
      </c>
      <c r="G6" s="6" t="s">
        <v>16</v>
      </c>
      <c r="H6" s="6" t="s">
        <v>16</v>
      </c>
      <c r="I6" s="6" t="s">
        <v>16</v>
      </c>
      <c r="J6" s="4"/>
    </row>
    <row r="7" spans="1:10" ht="15" customHeight="1" x14ac:dyDescent="0.25">
      <c r="A7" s="4" t="s">
        <v>4</v>
      </c>
      <c r="B7" s="6" t="s">
        <v>11</v>
      </c>
      <c r="C7" s="6" t="s">
        <v>16</v>
      </c>
      <c r="D7" s="6" t="s">
        <v>16</v>
      </c>
      <c r="E7" s="6" t="s">
        <v>16</v>
      </c>
      <c r="F7" s="6" t="s">
        <v>16</v>
      </c>
      <c r="G7" s="6" t="s">
        <v>16</v>
      </c>
      <c r="H7" s="6" t="s">
        <v>16</v>
      </c>
      <c r="I7" s="6" t="s">
        <v>16</v>
      </c>
      <c r="J7" s="4"/>
    </row>
    <row r="8" spans="1:10" ht="15" customHeight="1" x14ac:dyDescent="0.25">
      <c r="A8" s="4" t="s">
        <v>5</v>
      </c>
      <c r="B8" s="8" t="s">
        <v>81</v>
      </c>
      <c r="C8" s="6" t="s">
        <v>16</v>
      </c>
      <c r="D8" s="6" t="s">
        <v>16</v>
      </c>
      <c r="E8" s="8" t="s">
        <v>13</v>
      </c>
      <c r="F8" s="8" t="s">
        <v>13</v>
      </c>
      <c r="G8" s="8" t="s">
        <v>12</v>
      </c>
      <c r="H8" s="6" t="s">
        <v>16</v>
      </c>
      <c r="I8" s="15" t="s">
        <v>82</v>
      </c>
      <c r="J8" s="4"/>
    </row>
    <row r="9" spans="1:10" ht="15" customHeight="1" x14ac:dyDescent="0.25">
      <c r="A9" s="4" t="s">
        <v>83</v>
      </c>
      <c r="B9" s="6" t="s">
        <v>153</v>
      </c>
      <c r="C9" s="6" t="s">
        <v>153</v>
      </c>
      <c r="D9" s="6" t="s">
        <v>153</v>
      </c>
      <c r="E9" s="6" t="s">
        <v>153</v>
      </c>
      <c r="F9" s="6" t="s">
        <v>153</v>
      </c>
      <c r="G9" s="6" t="s">
        <v>153</v>
      </c>
      <c r="H9" s="6" t="s">
        <v>153</v>
      </c>
      <c r="I9" s="6" t="s">
        <v>153</v>
      </c>
      <c r="J9" s="4"/>
    </row>
  </sheetData>
  <dataValidations count="1">
    <dataValidation type="list" allowBlank="1" sqref="E2:G8">
      <formula1>"Yes,Partial,No,Not found,Not tested,x,?"</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zoomScaleNormal="100" workbookViewId="0"/>
  </sheetViews>
  <sheetFormatPr defaultColWidth="8.7109375" defaultRowHeight="15" x14ac:dyDescent="0.25"/>
  <cols>
    <col min="1" max="1" width="14" style="1" customWidth="1"/>
    <col min="2" max="2" width="30" style="1" customWidth="1"/>
    <col min="3" max="4" width="20" style="1" customWidth="1"/>
    <col min="5" max="5" width="10" style="1" customWidth="1"/>
    <col min="6" max="6" width="22" style="1" customWidth="1"/>
    <col min="7" max="7" width="26" style="1" customWidth="1"/>
    <col min="8" max="8" width="24" style="1" customWidth="1"/>
    <col min="9" max="9" width="34" style="1" customWidth="1"/>
    <col min="10" max="10" width="30" style="1" customWidth="1"/>
  </cols>
  <sheetData>
    <row r="1" spans="1:10" ht="23.25" customHeight="1" x14ac:dyDescent="0.25">
      <c r="A1" s="3" t="s">
        <v>57</v>
      </c>
      <c r="B1" s="3" t="s">
        <v>84</v>
      </c>
      <c r="C1" s="3" t="s">
        <v>85</v>
      </c>
      <c r="D1" s="3" t="s">
        <v>86</v>
      </c>
      <c r="E1" s="3" t="s">
        <v>87</v>
      </c>
      <c r="F1" s="3" t="s">
        <v>88</v>
      </c>
      <c r="G1" s="3" t="s">
        <v>89</v>
      </c>
      <c r="H1" s="3" t="s">
        <v>90</v>
      </c>
      <c r="I1" s="3" t="s">
        <v>91</v>
      </c>
      <c r="J1" s="3" t="s">
        <v>92</v>
      </c>
    </row>
    <row r="2" spans="1:10" ht="75" customHeight="1" x14ac:dyDescent="0.25">
      <c r="A2" s="4" t="s">
        <v>0</v>
      </c>
      <c r="B2" s="4" t="s">
        <v>93</v>
      </c>
      <c r="C2" s="4" t="str">
        <f t="shared" ref="C2:C7" si="0">IF(NOT(ISNUMBER(F15)),"Not found",IF(OR(NOT(ISNUMBER(G15)),G15=F15),TEXT(F15,"#,##0"),TEXT(F15,"#,##0")&amp;" - "&amp;TEXT(G15,"#,##0")))</f>
        <v>1,904 - 3,024</v>
      </c>
      <c r="D2" s="4" t="str">
        <f>IF(NOT(ISNUMBER(H15)),"Not found",IF(OR(NOT(ISNUMBER(I15)),I15=H15),TEXT(H15,"#,##0"),TEXT(H15,"#,##0")&amp;" - "&amp;TEXT(I15,"#,##0")))</f>
        <v>1,904 - 5,824</v>
      </c>
      <c r="E2" s="4" t="s">
        <v>94</v>
      </c>
      <c r="F2" s="4" t="s">
        <v>7</v>
      </c>
      <c r="G2" s="4" t="s">
        <v>95</v>
      </c>
      <c r="H2" s="4" t="s">
        <v>96</v>
      </c>
      <c r="I2" s="4" t="s">
        <v>97</v>
      </c>
      <c r="J2" s="4" t="s">
        <v>98</v>
      </c>
    </row>
    <row r="3" spans="1:10" ht="75" customHeight="1" x14ac:dyDescent="0.25">
      <c r="A3" s="4" t="s">
        <v>1</v>
      </c>
      <c r="B3" s="4" t="s">
        <v>99</v>
      </c>
      <c r="C3" s="4" t="str">
        <f t="shared" si="0"/>
        <v>3,584 - 4,368</v>
      </c>
      <c r="D3" s="4" t="str">
        <f>IF(NOT(ISNUMBER(H16)),"Not found",IF(OR(NOT(ISNUMBER(I16)),I16=H16),TEXT(H16,"#,##0"),TEXT(H16,"#,##0")&amp;" - "&amp;TEXT(I16,"#,##0")))</f>
        <v>7,504 - 8,288</v>
      </c>
      <c r="E3" s="4" t="s">
        <v>94</v>
      </c>
      <c r="F3" s="4" t="s">
        <v>100</v>
      </c>
      <c r="G3" s="4" t="s">
        <v>101</v>
      </c>
      <c r="H3" s="4" t="s">
        <v>7</v>
      </c>
      <c r="I3" s="4" t="s">
        <v>102</v>
      </c>
      <c r="J3" s="4" t="s">
        <v>98</v>
      </c>
    </row>
    <row r="4" spans="1:10" ht="75" customHeight="1" x14ac:dyDescent="0.25">
      <c r="A4" s="4" t="s">
        <v>2</v>
      </c>
      <c r="B4" s="4" t="s">
        <v>103</v>
      </c>
      <c r="C4" s="4" t="str">
        <f t="shared" si="0"/>
        <v>2,520 - 3,808</v>
      </c>
      <c r="D4" s="4" t="str">
        <f>IF(NOT(ISNUMBER(H17)),"Not found",IF(OR(NOT(ISNUMBER(I17)),I17=H17),TEXT(H17,"#,##0"),TEXT(H17,"#,##0")&amp;" - "&amp;TEXT(I17,"#,##0")))</f>
        <v>7,504 - 11,424</v>
      </c>
      <c r="E4" s="4" t="s">
        <v>104</v>
      </c>
      <c r="F4" s="4" t="s">
        <v>100</v>
      </c>
      <c r="G4" s="4" t="s">
        <v>105</v>
      </c>
      <c r="H4" s="4" t="s">
        <v>7</v>
      </c>
      <c r="I4" s="4" t="s">
        <v>106</v>
      </c>
      <c r="J4" s="4" t="s">
        <v>98</v>
      </c>
    </row>
    <row r="5" spans="1:10" ht="75" customHeight="1" x14ac:dyDescent="0.25">
      <c r="A5" s="4" t="s">
        <v>3</v>
      </c>
      <c r="B5" s="4" t="s">
        <v>107</v>
      </c>
      <c r="C5" s="4" t="str">
        <f t="shared" si="0"/>
        <v>6,720</v>
      </c>
      <c r="D5" s="4" t="s">
        <v>108</v>
      </c>
      <c r="E5" s="4" t="s">
        <v>109</v>
      </c>
      <c r="F5" s="4" t="s">
        <v>110</v>
      </c>
      <c r="G5" s="4" t="s">
        <v>111</v>
      </c>
      <c r="H5" s="4" t="s">
        <v>7</v>
      </c>
      <c r="I5" s="4" t="s">
        <v>112</v>
      </c>
      <c r="J5" s="4" t="s">
        <v>98</v>
      </c>
    </row>
    <row r="6" spans="1:10" ht="75" customHeight="1" x14ac:dyDescent="0.25">
      <c r="A6" s="4" t="s">
        <v>4</v>
      </c>
      <c r="B6" s="4" t="s">
        <v>113</v>
      </c>
      <c r="C6" s="16" t="str">
        <f t="shared" si="0"/>
        <v>2,490</v>
      </c>
      <c r="D6" s="16" t="str">
        <f>IF(NOT(ISNUMBER(H19)),"Not found",IF(OR(NOT(ISNUMBER(I19)),I19=H19),TEXT(H19,"#,##0"),TEXT(H19,"#,##0")&amp;" - "&amp;TEXT(I19,"#,##0")))</f>
        <v>2,490</v>
      </c>
      <c r="E6" s="4" t="s">
        <v>114</v>
      </c>
      <c r="F6" s="4" t="s">
        <v>7</v>
      </c>
      <c r="G6" s="4" t="s">
        <v>115</v>
      </c>
      <c r="H6" s="4" t="s">
        <v>116</v>
      </c>
      <c r="I6" s="4" t="s">
        <v>117</v>
      </c>
      <c r="J6" s="16" t="s">
        <v>118</v>
      </c>
    </row>
    <row r="7" spans="1:10" ht="75" customHeight="1" x14ac:dyDescent="0.25">
      <c r="A7" s="4" t="s">
        <v>5</v>
      </c>
      <c r="B7" s="4" t="s">
        <v>119</v>
      </c>
      <c r="C7" s="4" t="str">
        <f t="shared" si="0"/>
        <v>92,064 - 335,720</v>
      </c>
      <c r="D7" s="4" t="str">
        <f>IF(NOT(ISNUMBER(H20)),"Not found",IF(OR(NOT(ISNUMBER(I20)),I20=H20),TEXT(H20,"#,##0"),TEXT(H20,"#,##0")&amp;" - "&amp;TEXT(I20,"#,##0")))</f>
        <v>164,304 - 447,160</v>
      </c>
      <c r="E7" s="4" t="s">
        <v>120</v>
      </c>
      <c r="F7" s="4" t="s">
        <v>7</v>
      </c>
      <c r="G7" s="4" t="s">
        <v>121</v>
      </c>
      <c r="H7" s="4" t="s">
        <v>122</v>
      </c>
      <c r="I7" s="4" t="s">
        <v>123</v>
      </c>
      <c r="J7" s="4" t="s">
        <v>98</v>
      </c>
    </row>
    <row r="8" spans="1:10" ht="75" customHeight="1" x14ac:dyDescent="0.25">
      <c r="A8" s="4" t="s">
        <v>6</v>
      </c>
      <c r="B8" s="4" t="s">
        <v>124</v>
      </c>
      <c r="C8" s="4" t="str">
        <f>"Hosting from "&amp;TEXT(F21,"#,##0")&amp;" (software free)"</f>
        <v>Hosting from 280 (software free)</v>
      </c>
      <c r="D8" s="4" t="str">
        <f>"Hosting from "&amp;TEXT(H21,"#,##0")&amp;" (software free)"</f>
        <v>Hosting from 280 (software free)</v>
      </c>
      <c r="E8" s="4" t="s">
        <v>120</v>
      </c>
      <c r="F8" s="4" t="s">
        <v>7</v>
      </c>
      <c r="G8" s="4" t="s">
        <v>125</v>
      </c>
      <c r="H8" s="4" t="s">
        <v>126</v>
      </c>
      <c r="I8" s="4" t="s">
        <v>127</v>
      </c>
      <c r="J8" s="4" t="s">
        <v>98</v>
      </c>
    </row>
    <row r="11" spans="1:10" ht="15" customHeight="1" x14ac:dyDescent="0.25">
      <c r="A11" s="2" t="s">
        <v>128</v>
      </c>
    </row>
    <row r="12" spans="1:10" ht="30" customHeight="1" x14ac:dyDescent="0.25">
      <c r="A12" s="2" t="s">
        <v>129</v>
      </c>
      <c r="B12" s="17">
        <v>56</v>
      </c>
      <c r="C12" s="24" t="s">
        <v>130</v>
      </c>
      <c r="D12" s="23"/>
      <c r="E12" s="23"/>
      <c r="F12" s="23"/>
      <c r="G12" s="23"/>
      <c r="H12" s="23"/>
      <c r="I12" s="23"/>
      <c r="J12" s="23"/>
    </row>
    <row r="14" spans="1:10" ht="42" customHeight="1" x14ac:dyDescent="0.25">
      <c r="A14" s="18" t="s">
        <v>57</v>
      </c>
      <c r="B14" s="18" t="s">
        <v>131</v>
      </c>
      <c r="C14" s="18" t="s">
        <v>132</v>
      </c>
      <c r="D14" s="18" t="s">
        <v>133</v>
      </c>
      <c r="E14" s="18" t="s">
        <v>134</v>
      </c>
      <c r="F14" s="18" t="s">
        <v>135</v>
      </c>
      <c r="G14" s="18" t="s">
        <v>136</v>
      </c>
      <c r="H14" s="18" t="s">
        <v>137</v>
      </c>
      <c r="I14" s="18" t="s">
        <v>138</v>
      </c>
      <c r="J14" s="18" t="s">
        <v>139</v>
      </c>
    </row>
    <row r="15" spans="1:10" ht="78" customHeight="1" x14ac:dyDescent="0.25">
      <c r="A15" s="4" t="s">
        <v>0</v>
      </c>
      <c r="B15" s="19">
        <v>34</v>
      </c>
      <c r="C15" s="19">
        <v>54</v>
      </c>
      <c r="D15" s="19">
        <v>34</v>
      </c>
      <c r="E15" s="19">
        <v>104</v>
      </c>
      <c r="F15" s="20">
        <f t="shared" ref="F15:I18" si="1">IF(ISNUMBER(B15),B15*$B$12,"")</f>
        <v>1904</v>
      </c>
      <c r="G15" s="20">
        <f t="shared" si="1"/>
        <v>3024</v>
      </c>
      <c r="H15" s="20">
        <f t="shared" si="1"/>
        <v>1904</v>
      </c>
      <c r="I15" s="20">
        <f t="shared" si="1"/>
        <v>5824</v>
      </c>
      <c r="J15" s="4" t="s">
        <v>140</v>
      </c>
    </row>
    <row r="16" spans="1:10" ht="78" customHeight="1" x14ac:dyDescent="0.25">
      <c r="A16" s="4" t="s">
        <v>1</v>
      </c>
      <c r="B16" s="19">
        <v>64</v>
      </c>
      <c r="C16" s="19">
        <v>78</v>
      </c>
      <c r="D16" s="19">
        <v>134</v>
      </c>
      <c r="E16" s="19">
        <v>148</v>
      </c>
      <c r="F16" s="20">
        <f t="shared" si="1"/>
        <v>3584</v>
      </c>
      <c r="G16" s="20">
        <f t="shared" si="1"/>
        <v>4368</v>
      </c>
      <c r="H16" s="20">
        <f t="shared" si="1"/>
        <v>7504</v>
      </c>
      <c r="I16" s="20">
        <f t="shared" si="1"/>
        <v>8288</v>
      </c>
      <c r="J16" s="4" t="s">
        <v>141</v>
      </c>
    </row>
    <row r="17" spans="1:10" ht="78" customHeight="1" x14ac:dyDescent="0.25">
      <c r="A17" s="4" t="s">
        <v>2</v>
      </c>
      <c r="B17" s="19">
        <v>45</v>
      </c>
      <c r="C17" s="19">
        <v>68</v>
      </c>
      <c r="D17" s="19">
        <v>134</v>
      </c>
      <c r="E17" s="19">
        <v>204</v>
      </c>
      <c r="F17" s="20">
        <f t="shared" si="1"/>
        <v>2520</v>
      </c>
      <c r="G17" s="20">
        <f t="shared" si="1"/>
        <v>3808</v>
      </c>
      <c r="H17" s="20">
        <f t="shared" si="1"/>
        <v>7504</v>
      </c>
      <c r="I17" s="20">
        <f t="shared" si="1"/>
        <v>11424</v>
      </c>
      <c r="J17" s="4" t="s">
        <v>142</v>
      </c>
    </row>
    <row r="18" spans="1:10" ht="78" customHeight="1" x14ac:dyDescent="0.25">
      <c r="A18" s="4" t="s">
        <v>3</v>
      </c>
      <c r="B18" s="19">
        <v>120</v>
      </c>
      <c r="C18" s="19">
        <v>120</v>
      </c>
      <c r="D18" s="20"/>
      <c r="E18" s="20"/>
      <c r="F18" s="20">
        <f t="shared" si="1"/>
        <v>6720</v>
      </c>
      <c r="G18" s="20">
        <f t="shared" si="1"/>
        <v>6720</v>
      </c>
      <c r="H18" s="20" t="str">
        <f t="shared" si="1"/>
        <v/>
      </c>
      <c r="I18" s="20" t="str">
        <f t="shared" si="1"/>
        <v/>
      </c>
      <c r="J18" s="4" t="s">
        <v>143</v>
      </c>
    </row>
    <row r="19" spans="1:10" ht="78" customHeight="1" x14ac:dyDescent="0.25">
      <c r="A19" s="4" t="s">
        <v>4</v>
      </c>
      <c r="B19" s="21">
        <f>F19/$B$12</f>
        <v>44.464285714285715</v>
      </c>
      <c r="C19" s="21">
        <f>G19/$B$12</f>
        <v>44.464285714285715</v>
      </c>
      <c r="D19" s="21">
        <f>H19/$B$12</f>
        <v>44.464285714285715</v>
      </c>
      <c r="E19" s="21">
        <f>I19/$B$12</f>
        <v>44.464285714285715</v>
      </c>
      <c r="F19" s="19">
        <v>2490</v>
      </c>
      <c r="G19" s="19">
        <v>2490</v>
      </c>
      <c r="H19" s="19">
        <v>2490</v>
      </c>
      <c r="I19" s="19">
        <v>2490</v>
      </c>
      <c r="J19" s="4" t="s">
        <v>144</v>
      </c>
    </row>
    <row r="20" spans="1:10" ht="78" customHeight="1" x14ac:dyDescent="0.25">
      <c r="A20" s="4" t="s">
        <v>5</v>
      </c>
      <c r="B20" s="19">
        <v>1644</v>
      </c>
      <c r="C20" s="20">
        <v>5995</v>
      </c>
      <c r="D20" s="19">
        <v>2934</v>
      </c>
      <c r="E20" s="20">
        <v>7985</v>
      </c>
      <c r="F20" s="20">
        <f t="shared" ref="F20:I21" si="2">IF(ISNUMBER(B20),B20*$B$12,"")</f>
        <v>92064</v>
      </c>
      <c r="G20" s="20">
        <f t="shared" si="2"/>
        <v>335720</v>
      </c>
      <c r="H20" s="20">
        <f t="shared" si="2"/>
        <v>164304</v>
      </c>
      <c r="I20" s="20">
        <f t="shared" si="2"/>
        <v>447160</v>
      </c>
      <c r="J20" s="4" t="s">
        <v>145</v>
      </c>
    </row>
    <row r="21" spans="1:10" ht="78" customHeight="1" x14ac:dyDescent="0.25">
      <c r="A21" s="4" t="s">
        <v>6</v>
      </c>
      <c r="B21" s="19">
        <v>5</v>
      </c>
      <c r="C21" s="20"/>
      <c r="D21" s="19">
        <v>5</v>
      </c>
      <c r="E21" s="20"/>
      <c r="F21" s="20">
        <f t="shared" si="2"/>
        <v>280</v>
      </c>
      <c r="G21" s="20" t="str">
        <f t="shared" si="2"/>
        <v/>
      </c>
      <c r="H21" s="20">
        <f t="shared" si="2"/>
        <v>280</v>
      </c>
      <c r="I21" s="20" t="str">
        <f t="shared" si="2"/>
        <v/>
      </c>
      <c r="J21" s="4" t="s">
        <v>146</v>
      </c>
    </row>
    <row r="23" spans="1:10" ht="27.75" customHeight="1" x14ac:dyDescent="0.25">
      <c r="A23" s="22" t="s">
        <v>147</v>
      </c>
      <c r="B23" s="23"/>
      <c r="C23" s="23"/>
      <c r="D23" s="23"/>
      <c r="E23" s="23"/>
      <c r="F23" s="23"/>
      <c r="G23" s="23"/>
      <c r="H23" s="23"/>
      <c r="I23" s="23"/>
      <c r="J23" s="23"/>
    </row>
  </sheetData>
  <mergeCells count="2">
    <mergeCell ref="A23:J23"/>
    <mergeCell ref="C12:J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zoomScaleNormal="100" workbookViewId="0"/>
  </sheetViews>
  <sheetFormatPr defaultColWidth="8.7109375" defaultRowHeight="15" x14ac:dyDescent="0.25"/>
  <cols>
    <col min="1" max="1" width="14" style="1" customWidth="1"/>
    <col min="2" max="2" width="20" style="1" customWidth="1"/>
    <col min="3" max="3" width="18" style="1" customWidth="1"/>
    <col min="4" max="5" width="22" style="1" customWidth="1"/>
    <col min="6" max="6" width="50" style="1" customWidth="1"/>
  </cols>
  <sheetData>
    <row r="1" spans="1:6" ht="23.25" customHeight="1" x14ac:dyDescent="0.25">
      <c r="A1" s="3" t="s">
        <v>57</v>
      </c>
      <c r="B1" s="3" t="s">
        <v>148</v>
      </c>
      <c r="C1" s="3" t="s">
        <v>149</v>
      </c>
      <c r="D1" s="3" t="s">
        <v>150</v>
      </c>
      <c r="E1" s="3" t="s">
        <v>151</v>
      </c>
      <c r="F1" s="3" t="s">
        <v>152</v>
      </c>
    </row>
    <row r="2" spans="1:6" ht="15" customHeight="1" x14ac:dyDescent="0.25">
      <c r="A2" s="4" t="s">
        <v>0</v>
      </c>
      <c r="B2" s="4"/>
      <c r="C2" s="4"/>
      <c r="D2" s="4"/>
      <c r="E2" s="4"/>
      <c r="F2" s="4"/>
    </row>
    <row r="3" spans="1:6" ht="15" customHeight="1" x14ac:dyDescent="0.25">
      <c r="A3" s="4" t="s">
        <v>1</v>
      </c>
      <c r="B3" s="4"/>
      <c r="C3" s="4"/>
      <c r="D3" s="4"/>
      <c r="E3" s="4"/>
      <c r="F3" s="4"/>
    </row>
    <row r="4" spans="1:6" ht="15" customHeight="1" x14ac:dyDescent="0.25">
      <c r="A4" s="4" t="s">
        <v>2</v>
      </c>
      <c r="B4" s="4"/>
      <c r="C4" s="4"/>
      <c r="D4" s="4"/>
      <c r="E4" s="4"/>
      <c r="F4" s="4"/>
    </row>
    <row r="5" spans="1:6" ht="15" customHeight="1" x14ac:dyDescent="0.25">
      <c r="A5" s="4" t="s">
        <v>3</v>
      </c>
      <c r="B5" s="4"/>
      <c r="C5" s="4"/>
      <c r="D5" s="4"/>
      <c r="E5" s="4"/>
      <c r="F5" s="4"/>
    </row>
    <row r="6" spans="1:6" ht="15" customHeight="1" x14ac:dyDescent="0.25">
      <c r="A6" s="4" t="s">
        <v>4</v>
      </c>
      <c r="B6" s="4"/>
      <c r="C6" s="4"/>
      <c r="D6" s="4"/>
      <c r="E6" s="4"/>
      <c r="F6" s="4"/>
    </row>
    <row r="7" spans="1:6" ht="15" customHeight="1" x14ac:dyDescent="0.25">
      <c r="A7" s="4" t="s">
        <v>5</v>
      </c>
      <c r="B7" s="4"/>
      <c r="C7" s="4"/>
      <c r="D7" s="4"/>
      <c r="E7" s="4"/>
      <c r="F7" s="4"/>
    </row>
    <row r="8" spans="1:6" ht="15" customHeight="1" x14ac:dyDescent="0.25">
      <c r="A8" s="4" t="s">
        <v>6</v>
      </c>
      <c r="B8" s="4"/>
      <c r="C8" s="4"/>
      <c r="D8" s="4"/>
      <c r="E8" s="4"/>
      <c r="F8" s="4"/>
    </row>
  </sheetData>
  <dataValidations count="1">
    <dataValidation type="list" allowBlank="1" sqref="B2:E8">
      <formula1>"Yes,Partial,No,Not found,Not tested,x,?"</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Star test</vt:lpstr>
      <vt:lpstr>2 Feature matrix</vt:lpstr>
      <vt:lpstr>3 UI notes</vt:lpstr>
      <vt:lpstr>4 Mobile apps</vt:lpstr>
      <vt:lpstr>5 Prices</vt:lpstr>
      <vt:lpstr>6 White-label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Arthur</cp:lastModifiedBy>
  <cp:revision>0</cp:revision>
  <dcterms:created xsi:type="dcterms:W3CDTF">2026-10-29T18:46:42Z</dcterms:created>
  <dcterms:modified xsi:type="dcterms:W3CDTF">2026-10-30T20:04:48Z</dcterms:modified>
  <dc:language>en-US</dc:language>
</cp:coreProperties>
</file>